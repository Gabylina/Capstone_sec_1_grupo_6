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cion" sheetId="1" r:id="rId4"/>
    <sheet state="visible" name="Costos" sheetId="2" r:id="rId5"/>
  </sheets>
  <definedNames/>
  <calcPr/>
  <extLst>
    <ext uri="GoogleSheetsCustomDataVersion2">
      <go:sheetsCustomData xmlns:go="http://customooxmlschemas.google.com/" r:id="rId6" roundtripDataChecksum="df1oOgumCemjmA+T5r5bPMtRpndt3zgA36ekG3yDF8s="/>
    </ext>
  </extLst>
</workbook>
</file>

<file path=xl/sharedStrings.xml><?xml version="1.0" encoding="utf-8"?>
<sst xmlns="http://schemas.openxmlformats.org/spreadsheetml/2006/main" count="216" uniqueCount="101">
  <si>
    <t>Estimacion de esfuerzo por modulos</t>
  </si>
  <si>
    <t>Estimacion por tipo de esfuerzo</t>
  </si>
  <si>
    <t xml:space="preserve">Fase 1: planificación y análisis  </t>
  </si>
  <si>
    <t>Simple</t>
  </si>
  <si>
    <t>Muy facil</t>
  </si>
  <si>
    <t>Facil</t>
  </si>
  <si>
    <t>Normal</t>
  </si>
  <si>
    <t>Dificil</t>
  </si>
  <si>
    <t>Muy dificil</t>
  </si>
  <si>
    <t>Horas</t>
  </si>
  <si>
    <t>1.1 Levantamiento de requerimientos funcionales</t>
  </si>
  <si>
    <t>1.2 Levantamiento de requerimientos no funcionales</t>
  </si>
  <si>
    <t>1.3 Levantamiento del alcance</t>
  </si>
  <si>
    <t>Total esfuerzo</t>
  </si>
  <si>
    <t>1.4 Definición de objetivos</t>
  </si>
  <si>
    <t>Dias</t>
  </si>
  <si>
    <t>Semanas</t>
  </si>
  <si>
    <t>Meses</t>
  </si>
  <si>
    <t>Sueldo bruto</t>
  </si>
  <si>
    <t>1.5 Levantamiento del ERS</t>
  </si>
  <si>
    <t>Costo por hora</t>
  </si>
  <si>
    <t>Total Esfuerzo</t>
  </si>
  <si>
    <t>Horas trabajadas</t>
  </si>
  <si>
    <t>Fase 2: Diseño</t>
  </si>
  <si>
    <t>2.1 Creación prototipo de baja fidelidad</t>
  </si>
  <si>
    <t>2.2 Diseño en Figma</t>
  </si>
  <si>
    <t>2.4 Diseño de modelo de datos (MER)</t>
  </si>
  <si>
    <t>2.5 Normalización de base de datos</t>
  </si>
  <si>
    <t>2.6 Diseño de arquitectura de la solución</t>
  </si>
  <si>
    <t>2.7 Diseño de arquitectura de software</t>
  </si>
  <si>
    <t>2.8 Diseño de modelo de clases</t>
  </si>
  <si>
    <t>FASE 3: Desarrollo - Autenticacion y roles</t>
  </si>
  <si>
    <t>3.1 Implementación de JWT</t>
  </si>
  <si>
    <t>3.2 Middleware de autenticación</t>
  </si>
  <si>
    <t>3.3 Sistema de roles y permisos</t>
  </si>
  <si>
    <t>3.4 Endpoints de login/logout</t>
  </si>
  <si>
    <t>3.5 Recuperación de contraseña</t>
  </si>
  <si>
    <t>3.6 Página de login frontend</t>
  </si>
  <si>
    <t>3.7 Protección de rutas frontend</t>
  </si>
  <si>
    <t>3.8 Manejo de sesiones</t>
  </si>
  <si>
    <t xml:space="preserve">FASE 3: Desarrollo - Perfil administrador </t>
  </si>
  <si>
    <t>3.9 Creacion de solicitudes</t>
  </si>
  <si>
    <t>3.10 Gestión de cliente y contacto</t>
  </si>
  <si>
    <t>3.11 Gestión de usuarios</t>
  </si>
  <si>
    <t>FASE 3: Desarrollo - Perfil consultor</t>
  </si>
  <si>
    <t>3.12 Gestión de solicitud</t>
  </si>
  <si>
    <t>3.13 Perfil del consultor</t>
  </si>
  <si>
    <t xml:space="preserve">Fase 3: Desarrollo - Módulo 1: Solicitud y Cargo </t>
  </si>
  <si>
    <t>3.14 Visualizacion de solicitud y cargo</t>
  </si>
  <si>
    <t>3.15 Paso a módulo 2</t>
  </si>
  <si>
    <t>Fase 3: Desarrollo - Módulo 2: Registro de 
Candidatos y Publicación</t>
  </si>
  <si>
    <t>3.16 Gestión de candidatos</t>
  </si>
  <si>
    <t>3.17 Formación y experiencia</t>
  </si>
  <si>
    <t>3.18 Carga de cv</t>
  </si>
  <si>
    <t>3.19 Portal de publicación</t>
  </si>
  <si>
    <t>3.20 Gestión de postulaciones</t>
  </si>
  <si>
    <t>3.21 Paso a módulo 3</t>
  </si>
  <si>
    <t>Fase 3: Desarrollo - Módulo 3: Presentación de Candidatos</t>
  </si>
  <si>
    <t>3.22 Registro de envío</t>
  </si>
  <si>
    <t>3.23 Recepción de respuestas del cliente</t>
  </si>
  <si>
    <t>3.24 Comentarios del cliente</t>
  </si>
  <si>
    <t>3.25 Gestión de estados de postulación</t>
  </si>
  <si>
    <t>3.26 Revisión por rechazo total</t>
  </si>
  <si>
    <t>3.27 Cierre de proceso Long List</t>
  </si>
  <si>
    <t>3.28 Paso a módulo 4</t>
  </si>
  <si>
    <t>Fase 3: Desarrollo - Módulo 4: Evaluación Psicolaboral</t>
  </si>
  <si>
    <t>3.29 Creación de evaluación</t>
  </si>
  <si>
    <t>3.30 Gestión de estados de entrevista</t>
  </si>
  <si>
    <t>3.31 Estado del informe</t>
  </si>
  <si>
    <t>3.32 Tests aplicados</t>
  </si>
  <si>
    <t>3.33 Resultado global</t>
  </si>
  <si>
    <t>3.34 Cierre Proceso independiente (ev-psicolaboral o test psicométricos)</t>
  </si>
  <si>
    <t>3.35 Referencias laborales</t>
  </si>
  <si>
    <t>3.36 Paso a módulo 5</t>
  </si>
  <si>
    <t>Fase 3: Desarrollo - Módulo 5: Gestión de contrataciones</t>
  </si>
  <si>
    <t>3.37 Estados avanzados de postulación</t>
  </si>
  <si>
    <t>3.39 Registro de contratación</t>
  </si>
  <si>
    <t>3.40 Comentarios del cliente</t>
  </si>
  <si>
    <t>3.41 Gestión de vacantes</t>
  </si>
  <si>
    <t>3.42 Retorno al módulo 2 o cierre</t>
  </si>
  <si>
    <t>3.43 Cierre exitoso del proceso completo</t>
  </si>
  <si>
    <t>Fase 3: Desarrollo - Módulo 6: Alertas, Control de Plazos y registro de actividades</t>
  </si>
  <si>
    <t>3.44 Definición de plazos operativos</t>
  </si>
  <si>
    <t>3.45 Alertas automáticas por hito</t>
  </si>
  <si>
    <t>3.46 Alertas por atrasos</t>
  </si>
  <si>
    <t>3.47 Registro de actividad y trazabilidad</t>
  </si>
  <si>
    <t>3.48 Registro automático de actividades (triggers)</t>
  </si>
  <si>
    <t>3.49 Auditoría de gestión de usuarios</t>
  </si>
  <si>
    <t>Fase 3: Desarrollo - Módulo 7: Reportes y Dashboard</t>
  </si>
  <si>
    <t>3.50 Dashboard operativo general</t>
  </si>
  <si>
    <t>3.51 Cumplimiento de plazos</t>
  </si>
  <si>
    <t>3.52 Estado general de procesos</t>
  </si>
  <si>
    <t>3.53 Carga operativa por consultor</t>
  </si>
  <si>
    <t>3.54 Efectividad por portal de origen</t>
  </si>
  <si>
    <t>3.55 Retrasos por consultor</t>
  </si>
  <si>
    <t xml:space="preserve">3.56 Modelo dimensional (OLAP) - Como funcionaria
</t>
  </si>
  <si>
    <t>Fase 4: Pruebas y despliegue</t>
  </si>
  <si>
    <t>4.1 Pruebas de calidad (unitarias y de aceptación)</t>
  </si>
  <si>
    <t>4.2 Despliegue controlado y capacitacion</t>
  </si>
  <si>
    <t>Fase 5: Cierre</t>
  </si>
  <si>
    <t xml:space="preserve">5.1 Documentación final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</si>
</sst>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[$$-340A]* #,##0.00_ ;_ [$$-340A]* \-#,##0.00_ ;_ [$$-340A]* &quot;-&quot;??_ ;_ @_ "/>
    <numFmt numFmtId="165" formatCode="_ &quot;$&quot;* #,##0_ ;_ &quot;$&quot;* \-#,##0_ ;_ &quot;$&quot;* &quot;-&quot;_ ;_ @_ 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Calibri"/>
    </font>
    <font>
      <color theme="1"/>
      <name val="Aptos Narrow"/>
      <scheme val="minor"/>
    </font>
    <font>
      <sz val="10.0"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DBE9F7"/>
        <bgColor rgb="FFDBE9F7"/>
      </patternFill>
    </fill>
    <fill>
      <patternFill patternType="solid">
        <fgColor rgb="FF4D94D8"/>
        <bgColor rgb="FF4D94D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2" fontId="2" numFmtId="0" xfId="0" applyBorder="1" applyFont="1"/>
    <xf borderId="1" fillId="3" fontId="2" numFmtId="0" xfId="0" applyBorder="1" applyFill="1" applyFont="1"/>
    <xf borderId="3" fillId="4" fontId="2" numFmtId="164" xfId="0" applyBorder="1" applyFill="1" applyFont="1" applyNumberFormat="1"/>
    <xf borderId="1" fillId="0" fontId="2" numFmtId="1" xfId="0" applyBorder="1" applyFont="1" applyNumberFormat="1"/>
    <xf borderId="0" fillId="0" fontId="4" numFmtId="0" xfId="0" applyFont="1"/>
    <xf borderId="0" fillId="0" fontId="2" numFmtId="1" xfId="0" applyFont="1" applyNumberFormat="1"/>
    <xf borderId="3" fillId="4" fontId="2" numFmtId="0" xfId="0" applyBorder="1" applyFont="1"/>
    <xf borderId="0" fillId="0" fontId="2" numFmtId="0" xfId="0" applyAlignment="1" applyFont="1">
      <alignment horizontal="center"/>
    </xf>
    <xf borderId="0" fillId="0" fontId="2" numFmtId="165" xfId="0" applyFont="1" applyNumberFormat="1"/>
    <xf borderId="1" fillId="2" fontId="2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shrinkToFit="0" vertical="top" wrapText="1"/>
    </xf>
    <xf borderId="2" fillId="0" fontId="5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/>
    </xf>
    <xf borderId="1" fillId="2" fontId="6" numFmtId="0" xfId="0" applyAlignment="1" applyBorder="1" applyFont="1">
      <alignment horizontal="center" readingOrder="0"/>
    </xf>
    <xf borderId="0" fillId="0" fontId="3" numFmtId="0" xfId="0" applyFont="1"/>
    <xf borderId="3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88"/>
    <col customWidth="1" min="2" max="9" width="10.63"/>
    <col customWidth="1" min="10" max="10" width="29.0"/>
    <col customWidth="1" min="11" max="11" width="10.63"/>
    <col customWidth="1" min="12" max="12" width="11.63"/>
    <col customWidth="1" min="13" max="14" width="10.63"/>
    <col customWidth="1" min="15" max="15" width="14.75"/>
    <col customWidth="1" min="16" max="16" width="13.38"/>
    <col customWidth="1" min="17" max="26" width="10.63"/>
  </cols>
  <sheetData>
    <row r="1" ht="14.25" customHeight="1">
      <c r="A1" s="1" t="s">
        <v>0</v>
      </c>
      <c r="J1" s="1" t="s">
        <v>1</v>
      </c>
    </row>
    <row r="2" ht="14.2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J2" s="2"/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</row>
    <row r="3" ht="14.25" customHeight="1">
      <c r="A3" s="3" t="s">
        <v>10</v>
      </c>
      <c r="B3" s="4"/>
      <c r="C3" s="4"/>
      <c r="D3" s="4"/>
      <c r="E3" s="4"/>
      <c r="F3" s="4">
        <v>1.0</v>
      </c>
      <c r="G3" s="4"/>
      <c r="H3" s="4">
        <f t="shared" ref="H3:H7" si="1">(B3*$K$3)+(C3*$L$3)+(D3*$M$3)+(E3*$N$3)+(F3*$O$3)+(G3*$P$3)</f>
        <v>16</v>
      </c>
      <c r="J3" s="5" t="s">
        <v>9</v>
      </c>
      <c r="K3" s="5">
        <v>2.0</v>
      </c>
      <c r="L3" s="5">
        <v>4.0</v>
      </c>
      <c r="M3" s="5">
        <v>8.0</v>
      </c>
      <c r="N3" s="5">
        <v>12.0</v>
      </c>
      <c r="O3" s="5">
        <v>16.0</v>
      </c>
      <c r="P3" s="5">
        <v>24.0</v>
      </c>
    </row>
    <row r="4" ht="14.25" customHeight="1">
      <c r="A4" s="3" t="s">
        <v>11</v>
      </c>
      <c r="B4" s="4"/>
      <c r="C4" s="4"/>
      <c r="D4" s="4"/>
      <c r="E4" s="4">
        <v>1.0</v>
      </c>
      <c r="F4" s="4"/>
      <c r="G4" s="4"/>
      <c r="H4" s="4">
        <f t="shared" si="1"/>
        <v>12</v>
      </c>
    </row>
    <row r="5" ht="14.25" customHeight="1">
      <c r="A5" s="3" t="s">
        <v>12</v>
      </c>
      <c r="B5" s="4"/>
      <c r="C5" s="4"/>
      <c r="D5" s="4"/>
      <c r="E5" s="4">
        <v>1.0</v>
      </c>
      <c r="F5" s="4"/>
      <c r="G5" s="4"/>
      <c r="H5" s="4">
        <f t="shared" si="1"/>
        <v>12</v>
      </c>
      <c r="J5" s="1" t="s">
        <v>13</v>
      </c>
    </row>
    <row r="6" ht="14.25" customHeight="1">
      <c r="A6" s="3" t="s">
        <v>14</v>
      </c>
      <c r="B6" s="4"/>
      <c r="C6" s="4">
        <v>1.0</v>
      </c>
      <c r="D6" s="4"/>
      <c r="E6" s="4"/>
      <c r="F6" s="4"/>
      <c r="G6" s="4"/>
      <c r="H6" s="4">
        <f t="shared" si="1"/>
        <v>4</v>
      </c>
      <c r="J6" s="6" t="s">
        <v>9</v>
      </c>
      <c r="K6" s="6" t="s">
        <v>15</v>
      </c>
      <c r="L6" s="6" t="s">
        <v>16</v>
      </c>
      <c r="M6" s="6" t="s">
        <v>17</v>
      </c>
      <c r="O6" s="7" t="s">
        <v>18</v>
      </c>
      <c r="P6" s="8">
        <v>1327855.0</v>
      </c>
    </row>
    <row r="7" ht="14.25" customHeight="1">
      <c r="A7" s="3" t="s">
        <v>19</v>
      </c>
      <c r="B7" s="4"/>
      <c r="C7" s="4"/>
      <c r="D7" s="4"/>
      <c r="E7" s="4">
        <v>1.0</v>
      </c>
      <c r="F7" s="4"/>
      <c r="G7" s="4"/>
      <c r="H7" s="4">
        <f t="shared" si="1"/>
        <v>12</v>
      </c>
      <c r="J7" s="4">
        <f>SUM(H3:H7,H10:H16,H19:H26,H29:H31,H34:H35,H38:H39,H42:H47,H50:H56,H59:H66,H69:H74,H77:H82,H85:H91,H94:H95,H98)</f>
        <v>736</v>
      </c>
      <c r="K7" s="9">
        <f>J7/8</f>
        <v>92</v>
      </c>
      <c r="L7" s="9">
        <f>ROUND(J7/45,0)</f>
        <v>16</v>
      </c>
      <c r="M7" s="9">
        <f>ROUND(J7/180,0)</f>
        <v>4</v>
      </c>
      <c r="O7" s="7" t="s">
        <v>20</v>
      </c>
      <c r="P7" s="8">
        <f>P6/(45*4.33)</f>
        <v>6814.75494</v>
      </c>
    </row>
    <row r="8" ht="14.25" customHeight="1">
      <c r="A8" s="7" t="s">
        <v>21</v>
      </c>
      <c r="B8" s="7">
        <f t="shared" ref="B8:H8" si="2">SUM(B3:B7)</f>
        <v>0</v>
      </c>
      <c r="C8" s="7">
        <f t="shared" si="2"/>
        <v>1</v>
      </c>
      <c r="D8" s="7">
        <f t="shared" si="2"/>
        <v>0</v>
      </c>
      <c r="E8" s="7">
        <f t="shared" si="2"/>
        <v>3</v>
      </c>
      <c r="F8" s="7">
        <f t="shared" si="2"/>
        <v>1</v>
      </c>
      <c r="G8" s="7">
        <f t="shared" si="2"/>
        <v>0</v>
      </c>
      <c r="H8" s="7">
        <f t="shared" si="2"/>
        <v>56</v>
      </c>
      <c r="I8" s="10">
        <f>ROUND(H8/45,0)</f>
        <v>1</v>
      </c>
      <c r="L8" s="11"/>
      <c r="M8" s="11"/>
      <c r="O8" s="7" t="s">
        <v>22</v>
      </c>
      <c r="P8" s="12">
        <f>SUM(H3:H7,H10:H16,H19:H26,H29:H31,H34:H35,H38:H39,H42:H47,H50:H56,H59:H66,H69:H74,H77:H82,H85:H91,H94:H98)</f>
        <v>768</v>
      </c>
    </row>
    <row r="9" ht="14.25" customHeight="1">
      <c r="A9" s="2" t="s">
        <v>23</v>
      </c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13"/>
      <c r="P9" s="14">
        <f>P7*P8</f>
        <v>5233731.794</v>
      </c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3" t="s">
        <v>24</v>
      </c>
      <c r="B10" s="4"/>
      <c r="C10" s="4">
        <v>1.0</v>
      </c>
      <c r="D10" s="4"/>
      <c r="E10" s="4"/>
      <c r="F10" s="4"/>
      <c r="G10" s="4"/>
      <c r="H10" s="4">
        <f t="shared" ref="H10:H16" si="3">(B10*$K$3)+(C10*$L$3)+(D10*$M$3)+(E10*$N$3)+(F10*$O$3)+(G10*$P$3)</f>
        <v>4</v>
      </c>
    </row>
    <row r="11" ht="14.25" customHeight="1">
      <c r="A11" s="3" t="s">
        <v>25</v>
      </c>
      <c r="B11" s="4"/>
      <c r="C11" s="4"/>
      <c r="D11" s="4"/>
      <c r="E11" s="4">
        <v>1.0</v>
      </c>
      <c r="F11" s="4"/>
      <c r="G11" s="4"/>
      <c r="H11" s="4">
        <f t="shared" si="3"/>
        <v>12</v>
      </c>
    </row>
    <row r="12" ht="14.25" customHeight="1">
      <c r="A12" s="3" t="s">
        <v>26</v>
      </c>
      <c r="B12" s="4"/>
      <c r="C12" s="4"/>
      <c r="D12" s="4"/>
      <c r="E12" s="4">
        <v>1.0</v>
      </c>
      <c r="F12" s="4"/>
      <c r="G12" s="4"/>
      <c r="H12" s="4">
        <f t="shared" si="3"/>
        <v>12</v>
      </c>
    </row>
    <row r="13" ht="14.25" customHeight="1">
      <c r="A13" s="3" t="s">
        <v>27</v>
      </c>
      <c r="B13" s="4"/>
      <c r="C13" s="4"/>
      <c r="D13" s="4"/>
      <c r="E13" s="4">
        <v>1.0</v>
      </c>
      <c r="F13" s="4"/>
      <c r="G13" s="4"/>
      <c r="H13" s="4">
        <f t="shared" si="3"/>
        <v>12</v>
      </c>
    </row>
    <row r="14" ht="14.25" customHeight="1">
      <c r="A14" s="3" t="s">
        <v>28</v>
      </c>
      <c r="B14" s="4"/>
      <c r="C14" s="4"/>
      <c r="D14" s="4"/>
      <c r="E14" s="4">
        <v>1.0</v>
      </c>
      <c r="F14" s="4"/>
      <c r="G14" s="4"/>
      <c r="H14" s="4">
        <f t="shared" si="3"/>
        <v>12</v>
      </c>
    </row>
    <row r="15" ht="14.25" customHeight="1">
      <c r="A15" s="3" t="s">
        <v>29</v>
      </c>
      <c r="B15" s="4"/>
      <c r="C15" s="4"/>
      <c r="D15" s="4"/>
      <c r="E15" s="4">
        <v>1.0</v>
      </c>
      <c r="F15" s="4"/>
      <c r="G15" s="4"/>
      <c r="H15" s="4">
        <f t="shared" si="3"/>
        <v>12</v>
      </c>
    </row>
    <row r="16" ht="14.25" customHeight="1">
      <c r="A16" s="3" t="s">
        <v>30</v>
      </c>
      <c r="B16" s="4"/>
      <c r="C16" s="4"/>
      <c r="D16" s="4"/>
      <c r="E16" s="4">
        <v>1.0</v>
      </c>
      <c r="F16" s="4"/>
      <c r="G16" s="4"/>
      <c r="H16" s="4">
        <f t="shared" si="3"/>
        <v>12</v>
      </c>
    </row>
    <row r="17" ht="14.25" customHeight="1">
      <c r="A17" s="7" t="s">
        <v>21</v>
      </c>
      <c r="B17" s="7">
        <f t="shared" ref="B17:H17" si="4">SUM(B10:B16)</f>
        <v>0</v>
      </c>
      <c r="C17" s="7">
        <f t="shared" si="4"/>
        <v>1</v>
      </c>
      <c r="D17" s="7">
        <f t="shared" si="4"/>
        <v>0</v>
      </c>
      <c r="E17" s="7">
        <f t="shared" si="4"/>
        <v>6</v>
      </c>
      <c r="F17" s="7">
        <f t="shared" si="4"/>
        <v>0</v>
      </c>
      <c r="G17" s="7">
        <f t="shared" si="4"/>
        <v>0</v>
      </c>
      <c r="H17" s="7">
        <f t="shared" si="4"/>
        <v>76</v>
      </c>
      <c r="I17" s="10">
        <f>ROUND(H17/45,0)</f>
        <v>2</v>
      </c>
    </row>
    <row r="18" ht="14.25" customHeight="1">
      <c r="A18" s="2" t="s">
        <v>31</v>
      </c>
      <c r="B18" s="2" t="s">
        <v>3</v>
      </c>
      <c r="C18" s="2" t="s">
        <v>4</v>
      </c>
      <c r="D18" s="2" t="s">
        <v>5</v>
      </c>
      <c r="E18" s="2" t="s">
        <v>6</v>
      </c>
      <c r="F18" s="2" t="s">
        <v>7</v>
      </c>
      <c r="G18" s="2" t="s">
        <v>8</v>
      </c>
      <c r="H18" s="2" t="s">
        <v>9</v>
      </c>
    </row>
    <row r="19" ht="14.25" customHeight="1">
      <c r="A19" s="3" t="s">
        <v>32</v>
      </c>
      <c r="B19" s="4"/>
      <c r="C19" s="4">
        <v>1.0</v>
      </c>
      <c r="D19" s="4"/>
      <c r="E19" s="4"/>
      <c r="F19" s="4"/>
      <c r="G19" s="4"/>
      <c r="H19" s="4">
        <f t="shared" ref="H19:H26" si="5">(B19*$K$3)+(C19*$L$3)+(D19*$M$3)+(E19*$N$3)+(F19*$O$3)+(G19*$P$3)</f>
        <v>4</v>
      </c>
    </row>
    <row r="20" ht="14.25" customHeight="1">
      <c r="A20" s="3" t="s">
        <v>33</v>
      </c>
      <c r="B20" s="4"/>
      <c r="C20" s="4"/>
      <c r="D20" s="4">
        <v>1.0</v>
      </c>
      <c r="E20" s="4"/>
      <c r="F20" s="4"/>
      <c r="G20" s="4"/>
      <c r="H20" s="4">
        <f t="shared" si="5"/>
        <v>8</v>
      </c>
    </row>
    <row r="21" ht="14.25" customHeight="1">
      <c r="A21" s="3" t="s">
        <v>34</v>
      </c>
      <c r="B21" s="4"/>
      <c r="C21" s="4"/>
      <c r="D21" s="4"/>
      <c r="E21" s="4">
        <v>1.0</v>
      </c>
      <c r="F21" s="4"/>
      <c r="G21" s="4"/>
      <c r="H21" s="4">
        <f t="shared" si="5"/>
        <v>12</v>
      </c>
    </row>
    <row r="22" ht="14.25" customHeight="1">
      <c r="A22" s="3" t="s">
        <v>35</v>
      </c>
      <c r="B22" s="4"/>
      <c r="C22" s="4"/>
      <c r="D22" s="4">
        <v>1.0</v>
      </c>
      <c r="E22" s="4"/>
      <c r="F22" s="4"/>
      <c r="G22" s="4"/>
      <c r="H22" s="4">
        <f t="shared" si="5"/>
        <v>8</v>
      </c>
    </row>
    <row r="23" ht="14.25" customHeight="1">
      <c r="A23" s="3" t="s">
        <v>36</v>
      </c>
      <c r="B23" s="4"/>
      <c r="C23" s="4">
        <v>1.0</v>
      </c>
      <c r="D23" s="4"/>
      <c r="E23" s="4"/>
      <c r="F23" s="4"/>
      <c r="G23" s="4"/>
      <c r="H23" s="4">
        <f t="shared" si="5"/>
        <v>4</v>
      </c>
    </row>
    <row r="24" ht="14.25" customHeight="1">
      <c r="A24" s="3" t="s">
        <v>37</v>
      </c>
      <c r="B24" s="4"/>
      <c r="C24" s="4"/>
      <c r="D24" s="4"/>
      <c r="E24" s="4">
        <v>1.0</v>
      </c>
      <c r="F24" s="4"/>
      <c r="G24" s="4"/>
      <c r="H24" s="4">
        <f t="shared" si="5"/>
        <v>12</v>
      </c>
    </row>
    <row r="25" ht="14.25" customHeight="1">
      <c r="A25" s="3" t="s">
        <v>38</v>
      </c>
      <c r="B25" s="4"/>
      <c r="C25" s="4">
        <v>1.0</v>
      </c>
      <c r="D25" s="4"/>
      <c r="E25" s="4"/>
      <c r="F25" s="4"/>
      <c r="G25" s="4"/>
      <c r="H25" s="4">
        <f t="shared" si="5"/>
        <v>4</v>
      </c>
    </row>
    <row r="26" ht="14.25" customHeight="1">
      <c r="A26" s="3" t="s">
        <v>39</v>
      </c>
      <c r="B26" s="4"/>
      <c r="C26" s="4"/>
      <c r="D26" s="4"/>
      <c r="E26" s="4">
        <v>1.0</v>
      </c>
      <c r="F26" s="4"/>
      <c r="G26" s="4"/>
      <c r="H26" s="4">
        <f t="shared" si="5"/>
        <v>12</v>
      </c>
    </row>
    <row r="27" ht="14.25" customHeight="1">
      <c r="A27" s="7" t="s">
        <v>21</v>
      </c>
      <c r="B27" s="7">
        <f t="shared" ref="B27:H27" si="6">SUM(B19:B26)</f>
        <v>0</v>
      </c>
      <c r="C27" s="7">
        <f t="shared" si="6"/>
        <v>3</v>
      </c>
      <c r="D27" s="7">
        <f t="shared" si="6"/>
        <v>2</v>
      </c>
      <c r="E27" s="7">
        <f t="shared" si="6"/>
        <v>3</v>
      </c>
      <c r="F27" s="7">
        <f t="shared" si="6"/>
        <v>0</v>
      </c>
      <c r="G27" s="7">
        <f t="shared" si="6"/>
        <v>0</v>
      </c>
      <c r="H27" s="7">
        <f t="shared" si="6"/>
        <v>64</v>
      </c>
      <c r="I27" s="10">
        <f>ROUND(H27/45,0)</f>
        <v>1</v>
      </c>
    </row>
    <row r="28" ht="14.25" customHeight="1">
      <c r="A28" s="15" t="s">
        <v>40</v>
      </c>
      <c r="B28" s="2" t="s">
        <v>3</v>
      </c>
      <c r="C28" s="2" t="s">
        <v>4</v>
      </c>
      <c r="D28" s="2" t="s">
        <v>5</v>
      </c>
      <c r="E28" s="2" t="s">
        <v>6</v>
      </c>
      <c r="F28" s="2" t="s">
        <v>7</v>
      </c>
      <c r="G28" s="2" t="s">
        <v>8</v>
      </c>
      <c r="H28" s="2" t="s">
        <v>9</v>
      </c>
    </row>
    <row r="29" ht="14.25" customHeight="1">
      <c r="A29" s="3" t="s">
        <v>41</v>
      </c>
      <c r="B29" s="4"/>
      <c r="C29" s="4"/>
      <c r="D29" s="4">
        <v>1.0</v>
      </c>
      <c r="E29" s="4"/>
      <c r="F29" s="4"/>
      <c r="G29" s="4"/>
      <c r="H29" s="4">
        <f t="shared" ref="H29:H31" si="7">(B29*$K$3)+(C29*$L$3)+(D29*$M$3)+(E29*$N$3)+(F29*$O$3)+(G29*$P$3)</f>
        <v>8</v>
      </c>
    </row>
    <row r="30" ht="14.25" customHeight="1">
      <c r="A30" s="16" t="s">
        <v>42</v>
      </c>
      <c r="B30" s="4"/>
      <c r="C30" s="4"/>
      <c r="D30" s="4">
        <v>1.0</v>
      </c>
      <c r="E30" s="4"/>
      <c r="F30" s="4"/>
      <c r="G30" s="4"/>
      <c r="H30" s="4">
        <f t="shared" si="7"/>
        <v>8</v>
      </c>
    </row>
    <row r="31" ht="14.25" customHeight="1">
      <c r="A31" s="3" t="s">
        <v>43</v>
      </c>
      <c r="B31" s="4"/>
      <c r="C31" s="4"/>
      <c r="D31" s="4">
        <v>1.0</v>
      </c>
      <c r="E31" s="4"/>
      <c r="F31" s="4"/>
      <c r="G31" s="4"/>
      <c r="H31" s="4">
        <f t="shared" si="7"/>
        <v>8</v>
      </c>
    </row>
    <row r="32" ht="14.25" customHeight="1">
      <c r="A32" s="7" t="s">
        <v>21</v>
      </c>
      <c r="B32" s="7">
        <f>SUM(B15:B31)</f>
        <v>0</v>
      </c>
      <c r="C32" s="7">
        <f t="shared" ref="C32:E32" si="8">SUM(C29:C31)</f>
        <v>0</v>
      </c>
      <c r="D32" s="7">
        <f t="shared" si="8"/>
        <v>3</v>
      </c>
      <c r="E32" s="7">
        <f t="shared" si="8"/>
        <v>0</v>
      </c>
      <c r="F32" s="7">
        <f t="shared" ref="F32:G32" si="9">SUM(F25:F31)</f>
        <v>0</v>
      </c>
      <c r="G32" s="7">
        <f t="shared" si="9"/>
        <v>0</v>
      </c>
      <c r="H32" s="7">
        <f>SUM(H29:H31)</f>
        <v>24</v>
      </c>
      <c r="I32" s="10">
        <f>ROUND(H32/45,0)</f>
        <v>1</v>
      </c>
    </row>
    <row r="33" ht="14.25" customHeight="1">
      <c r="A33" s="15" t="s">
        <v>44</v>
      </c>
      <c r="B33" s="2" t="s">
        <v>3</v>
      </c>
      <c r="C33" s="2" t="s">
        <v>4</v>
      </c>
      <c r="D33" s="2" t="s">
        <v>5</v>
      </c>
      <c r="E33" s="2" t="s">
        <v>6</v>
      </c>
      <c r="F33" s="2" t="s">
        <v>7</v>
      </c>
      <c r="G33" s="2" t="s">
        <v>8</v>
      </c>
      <c r="H33" s="2" t="s">
        <v>9</v>
      </c>
    </row>
    <row r="34" ht="14.25" customHeight="1">
      <c r="A34" s="3" t="s">
        <v>45</v>
      </c>
      <c r="B34" s="4"/>
      <c r="C34" s="4"/>
      <c r="D34" s="4"/>
      <c r="E34" s="4">
        <v>1.0</v>
      </c>
      <c r="F34" s="4"/>
      <c r="G34" s="4"/>
      <c r="H34" s="4">
        <f t="shared" ref="H34:H35" si="10">(B34*$K$3)+(C34*$L$3)+(D34*$M$3)+(E34*$N$3)+(F34*$O$3)+(G34*$P$3)</f>
        <v>12</v>
      </c>
    </row>
    <row r="35" ht="14.25" customHeight="1">
      <c r="A35" s="3" t="s">
        <v>46</v>
      </c>
      <c r="B35" s="4"/>
      <c r="C35" s="4"/>
      <c r="D35" s="4"/>
      <c r="E35" s="4">
        <v>1.0</v>
      </c>
      <c r="F35" s="4"/>
      <c r="G35" s="4"/>
      <c r="H35" s="4">
        <f t="shared" si="10"/>
        <v>12</v>
      </c>
    </row>
    <row r="36" ht="14.25" customHeight="1">
      <c r="A36" s="7" t="s">
        <v>21</v>
      </c>
      <c r="B36" s="7">
        <f>SUM(B19:B35)</f>
        <v>0</v>
      </c>
      <c r="C36" s="7">
        <f>SUM(C29:C35)</f>
        <v>0</v>
      </c>
      <c r="D36" s="7">
        <f t="shared" ref="D36:H36" si="11">SUM(D34:D35)</f>
        <v>0</v>
      </c>
      <c r="E36" s="7">
        <f t="shared" si="11"/>
        <v>2</v>
      </c>
      <c r="F36" s="7">
        <f t="shared" si="11"/>
        <v>0</v>
      </c>
      <c r="G36" s="7">
        <f t="shared" si="11"/>
        <v>0</v>
      </c>
      <c r="H36" s="7">
        <f t="shared" si="11"/>
        <v>24</v>
      </c>
      <c r="I36" s="10">
        <f>ROUND(H36/45,0)</f>
        <v>1</v>
      </c>
    </row>
    <row r="37" ht="14.25" customHeight="1">
      <c r="A37" s="15" t="s">
        <v>47</v>
      </c>
      <c r="B37" s="2" t="s">
        <v>3</v>
      </c>
      <c r="C37" s="2" t="s">
        <v>4</v>
      </c>
      <c r="D37" s="2" t="s">
        <v>5</v>
      </c>
      <c r="E37" s="2" t="s">
        <v>6</v>
      </c>
      <c r="F37" s="2" t="s">
        <v>7</v>
      </c>
      <c r="G37" s="2" t="s">
        <v>8</v>
      </c>
      <c r="H37" s="2" t="s">
        <v>9</v>
      </c>
    </row>
    <row r="38" ht="14.25" customHeight="1">
      <c r="A38" s="3" t="s">
        <v>48</v>
      </c>
      <c r="B38" s="4"/>
      <c r="C38" s="4"/>
      <c r="D38" s="4"/>
      <c r="E38" s="4">
        <v>1.0</v>
      </c>
      <c r="F38" s="4"/>
      <c r="G38" s="4"/>
      <c r="H38" s="4">
        <f t="shared" ref="H38:H39" si="12">(B38*$K$3)+(C38*$L$3)+(D38*$M$3)+(E38*$N$3)+(F38*$O$3)+(G38*$P$3)</f>
        <v>12</v>
      </c>
    </row>
    <row r="39" ht="14.25" customHeight="1">
      <c r="A39" s="3" t="s">
        <v>49</v>
      </c>
      <c r="B39" s="4"/>
      <c r="C39" s="4"/>
      <c r="D39" s="4"/>
      <c r="E39" s="4">
        <v>1.0</v>
      </c>
      <c r="F39" s="4"/>
      <c r="G39" s="4"/>
      <c r="H39" s="4">
        <f t="shared" si="12"/>
        <v>12</v>
      </c>
    </row>
    <row r="40" ht="14.25" customHeight="1">
      <c r="A40" s="7" t="s">
        <v>21</v>
      </c>
      <c r="B40" s="7">
        <f t="shared" ref="B40:H40" si="13">SUM(B38:B39)</f>
        <v>0</v>
      </c>
      <c r="C40" s="7">
        <f t="shared" si="13"/>
        <v>0</v>
      </c>
      <c r="D40" s="7">
        <f t="shared" si="13"/>
        <v>0</v>
      </c>
      <c r="E40" s="7">
        <f t="shared" si="13"/>
        <v>2</v>
      </c>
      <c r="F40" s="7">
        <f t="shared" si="13"/>
        <v>0</v>
      </c>
      <c r="G40" s="7">
        <f t="shared" si="13"/>
        <v>0</v>
      </c>
      <c r="H40" s="7">
        <f t="shared" si="13"/>
        <v>24</v>
      </c>
      <c r="I40" s="10">
        <f>ROUND(H40/45,0)</f>
        <v>1</v>
      </c>
    </row>
    <row r="41" ht="14.25" customHeight="1">
      <c r="A41" s="15" t="s">
        <v>50</v>
      </c>
      <c r="B41" s="2" t="s">
        <v>3</v>
      </c>
      <c r="C41" s="2" t="s">
        <v>4</v>
      </c>
      <c r="D41" s="2" t="s">
        <v>5</v>
      </c>
      <c r="E41" s="2" t="s">
        <v>6</v>
      </c>
      <c r="F41" s="2" t="s">
        <v>7</v>
      </c>
      <c r="G41" s="2" t="s">
        <v>8</v>
      </c>
      <c r="H41" s="2" t="s">
        <v>9</v>
      </c>
    </row>
    <row r="42" ht="14.25" customHeight="1">
      <c r="A42" s="3" t="s">
        <v>51</v>
      </c>
      <c r="B42" s="4"/>
      <c r="C42" s="4"/>
      <c r="D42" s="4"/>
      <c r="E42" s="4">
        <v>1.0</v>
      </c>
      <c r="F42" s="4"/>
      <c r="G42" s="4"/>
      <c r="H42" s="4">
        <f t="shared" ref="H42:H47" si="14">(B42*$K$3)+(C42*$L$3)+(D42*$M$3)+(E42*$N$3)+(F42*$O$3)+(G42*$P$3)</f>
        <v>12</v>
      </c>
    </row>
    <row r="43" ht="14.25" customHeight="1">
      <c r="A43" s="3" t="s">
        <v>52</v>
      </c>
      <c r="B43" s="4"/>
      <c r="C43" s="4"/>
      <c r="D43" s="4"/>
      <c r="E43" s="4">
        <v>1.0</v>
      </c>
      <c r="F43" s="4"/>
      <c r="G43" s="4"/>
      <c r="H43" s="4">
        <f t="shared" si="14"/>
        <v>12</v>
      </c>
    </row>
    <row r="44" ht="14.25" customHeight="1">
      <c r="A44" s="3" t="s">
        <v>53</v>
      </c>
      <c r="B44" s="4"/>
      <c r="C44" s="4">
        <v>1.0</v>
      </c>
      <c r="D44" s="4"/>
      <c r="E44" s="4"/>
      <c r="F44" s="4"/>
      <c r="G44" s="4"/>
      <c r="H44" s="4">
        <f t="shared" si="14"/>
        <v>4</v>
      </c>
    </row>
    <row r="45" ht="14.25" customHeight="1">
      <c r="A45" s="3" t="s">
        <v>54</v>
      </c>
      <c r="B45" s="4"/>
      <c r="C45" s="4"/>
      <c r="D45" s="4">
        <v>1.0</v>
      </c>
      <c r="E45" s="4"/>
      <c r="F45" s="4"/>
      <c r="G45" s="4"/>
      <c r="H45" s="4">
        <f t="shared" si="14"/>
        <v>8</v>
      </c>
    </row>
    <row r="46" ht="14.25" customHeight="1">
      <c r="A46" s="3" t="s">
        <v>55</v>
      </c>
      <c r="B46" s="4"/>
      <c r="C46" s="4"/>
      <c r="D46" s="4">
        <v>1.0</v>
      </c>
      <c r="E46" s="4"/>
      <c r="F46" s="4"/>
      <c r="G46" s="4"/>
      <c r="H46" s="4">
        <f t="shared" si="14"/>
        <v>8</v>
      </c>
    </row>
    <row r="47" ht="14.25" customHeight="1">
      <c r="A47" s="3" t="s">
        <v>56</v>
      </c>
      <c r="B47" s="4"/>
      <c r="C47" s="4"/>
      <c r="D47" s="4">
        <v>1.0</v>
      </c>
      <c r="E47" s="4"/>
      <c r="F47" s="4"/>
      <c r="G47" s="4"/>
      <c r="H47" s="4">
        <f t="shared" si="14"/>
        <v>8</v>
      </c>
    </row>
    <row r="48" ht="14.25" customHeight="1">
      <c r="A48" s="7" t="s">
        <v>21</v>
      </c>
      <c r="B48" s="7">
        <f t="shared" ref="B48:H48" si="15">SUM(B42:B47)</f>
        <v>0</v>
      </c>
      <c r="C48" s="7">
        <f t="shared" si="15"/>
        <v>1</v>
      </c>
      <c r="D48" s="7">
        <f t="shared" si="15"/>
        <v>3</v>
      </c>
      <c r="E48" s="7">
        <f t="shared" si="15"/>
        <v>2</v>
      </c>
      <c r="F48" s="7">
        <f t="shared" si="15"/>
        <v>0</v>
      </c>
      <c r="G48" s="7">
        <f t="shared" si="15"/>
        <v>0</v>
      </c>
      <c r="H48" s="7">
        <f t="shared" si="15"/>
        <v>52</v>
      </c>
      <c r="I48" s="10">
        <f>ROUND(H48/45,0)</f>
        <v>1</v>
      </c>
    </row>
    <row r="49" ht="14.25" customHeight="1">
      <c r="A49" s="15" t="s">
        <v>57</v>
      </c>
      <c r="B49" s="2" t="s">
        <v>3</v>
      </c>
      <c r="C49" s="2" t="s">
        <v>4</v>
      </c>
      <c r="D49" s="2" t="s">
        <v>5</v>
      </c>
      <c r="E49" s="2" t="s">
        <v>6</v>
      </c>
      <c r="F49" s="2" t="s">
        <v>7</v>
      </c>
      <c r="G49" s="2" t="s">
        <v>8</v>
      </c>
      <c r="H49" s="2" t="s">
        <v>9</v>
      </c>
    </row>
    <row r="50" ht="14.25" customHeight="1">
      <c r="A50" s="3" t="s">
        <v>58</v>
      </c>
      <c r="B50" s="4"/>
      <c r="C50" s="4"/>
      <c r="D50" s="4">
        <v>1.0</v>
      </c>
      <c r="E50" s="4"/>
      <c r="F50" s="4"/>
      <c r="G50" s="4"/>
      <c r="H50" s="4">
        <f t="shared" ref="H50:H56" si="16">(B50*$K$3)+(C50*$L$3)+(D50*$M$3)+(E50*$N$3)+(F50*$O$3)+(G50*$P$3)</f>
        <v>8</v>
      </c>
    </row>
    <row r="51" ht="14.25" customHeight="1">
      <c r="A51" s="3" t="s">
        <v>59</v>
      </c>
      <c r="B51" s="4"/>
      <c r="C51" s="4"/>
      <c r="D51" s="4"/>
      <c r="E51" s="4">
        <v>1.0</v>
      </c>
      <c r="F51" s="4"/>
      <c r="G51" s="4"/>
      <c r="H51" s="4">
        <f t="shared" si="16"/>
        <v>12</v>
      </c>
    </row>
    <row r="52" ht="14.25" customHeight="1">
      <c r="A52" s="3" t="s">
        <v>60</v>
      </c>
      <c r="B52" s="4"/>
      <c r="C52" s="4"/>
      <c r="D52" s="4">
        <v>1.0</v>
      </c>
      <c r="E52" s="4"/>
      <c r="F52" s="4"/>
      <c r="G52" s="4"/>
      <c r="H52" s="4">
        <f t="shared" si="16"/>
        <v>8</v>
      </c>
    </row>
    <row r="53" ht="14.25" customHeight="1">
      <c r="A53" s="3" t="s">
        <v>61</v>
      </c>
      <c r="B53" s="4"/>
      <c r="C53" s="4"/>
      <c r="D53" s="4"/>
      <c r="E53" s="4">
        <v>1.0</v>
      </c>
      <c r="F53" s="4"/>
      <c r="G53" s="4"/>
      <c r="H53" s="4">
        <f t="shared" si="16"/>
        <v>12</v>
      </c>
    </row>
    <row r="54" ht="14.25" customHeight="1">
      <c r="A54" s="3" t="s">
        <v>62</v>
      </c>
      <c r="B54" s="4"/>
      <c r="C54" s="4"/>
      <c r="D54" s="4">
        <v>1.0</v>
      </c>
      <c r="E54" s="4"/>
      <c r="F54" s="4"/>
      <c r="G54" s="4"/>
      <c r="H54" s="4">
        <f t="shared" si="16"/>
        <v>8</v>
      </c>
    </row>
    <row r="55" ht="14.25" customHeight="1">
      <c r="A55" s="3" t="s">
        <v>63</v>
      </c>
      <c r="B55" s="4"/>
      <c r="C55" s="4"/>
      <c r="D55" s="4"/>
      <c r="E55" s="4">
        <v>1.0</v>
      </c>
      <c r="F55" s="4"/>
      <c r="G55" s="4"/>
      <c r="H55" s="4">
        <f t="shared" si="16"/>
        <v>12</v>
      </c>
    </row>
    <row r="56" ht="14.25" customHeight="1">
      <c r="A56" s="3" t="s">
        <v>64</v>
      </c>
      <c r="B56" s="4"/>
      <c r="C56" s="4"/>
      <c r="D56" s="4">
        <v>1.0</v>
      </c>
      <c r="E56" s="4"/>
      <c r="F56" s="4"/>
      <c r="G56" s="4"/>
      <c r="H56" s="4">
        <f t="shared" si="16"/>
        <v>8</v>
      </c>
    </row>
    <row r="57" ht="14.25" customHeight="1">
      <c r="A57" s="7" t="s">
        <v>21</v>
      </c>
      <c r="B57" s="7">
        <f t="shared" ref="B57:H57" si="17">SUM(B50:B56)</f>
        <v>0</v>
      </c>
      <c r="C57" s="7">
        <f t="shared" si="17"/>
        <v>0</v>
      </c>
      <c r="D57" s="7">
        <f t="shared" si="17"/>
        <v>4</v>
      </c>
      <c r="E57" s="7">
        <f t="shared" si="17"/>
        <v>3</v>
      </c>
      <c r="F57" s="7">
        <f t="shared" si="17"/>
        <v>0</v>
      </c>
      <c r="G57" s="7">
        <f t="shared" si="17"/>
        <v>0</v>
      </c>
      <c r="H57" s="7">
        <f t="shared" si="17"/>
        <v>68</v>
      </c>
      <c r="I57" s="10">
        <f>ROUND(H57/45,0)</f>
        <v>2</v>
      </c>
    </row>
    <row r="58" ht="14.25" customHeight="1">
      <c r="A58" s="2" t="s">
        <v>65</v>
      </c>
      <c r="B58" s="2" t="s">
        <v>3</v>
      </c>
      <c r="C58" s="2" t="s">
        <v>4</v>
      </c>
      <c r="D58" s="2" t="s">
        <v>5</v>
      </c>
      <c r="E58" s="2" t="s">
        <v>6</v>
      </c>
      <c r="F58" s="2" t="s">
        <v>7</v>
      </c>
      <c r="G58" s="2" t="s">
        <v>8</v>
      </c>
      <c r="H58" s="2" t="s">
        <v>9</v>
      </c>
    </row>
    <row r="59" ht="14.25" customHeight="1">
      <c r="A59" s="3" t="s">
        <v>66</v>
      </c>
      <c r="B59" s="4"/>
      <c r="C59" s="4"/>
      <c r="D59" s="4">
        <v>1.0</v>
      </c>
      <c r="E59" s="4"/>
      <c r="F59" s="4"/>
      <c r="G59" s="4"/>
      <c r="H59" s="4">
        <f t="shared" ref="H59:H66" si="18">(B59*$K$3)+(C59*$L$3)+(D59*$M$3)+(E59*$N$3)+(F59*$O$3)+(G59*$P$3)</f>
        <v>8</v>
      </c>
    </row>
    <row r="60" ht="14.25" customHeight="1">
      <c r="A60" s="3" t="s">
        <v>67</v>
      </c>
      <c r="B60" s="4"/>
      <c r="C60" s="4"/>
      <c r="D60" s="4"/>
      <c r="E60" s="4">
        <v>1.0</v>
      </c>
      <c r="F60" s="4"/>
      <c r="G60" s="4"/>
      <c r="H60" s="4">
        <f t="shared" si="18"/>
        <v>12</v>
      </c>
    </row>
    <row r="61" ht="14.25" customHeight="1">
      <c r="A61" s="3" t="s">
        <v>68</v>
      </c>
      <c r="B61" s="4"/>
      <c r="C61" s="4"/>
      <c r="D61" s="4">
        <v>1.0</v>
      </c>
      <c r="E61" s="4"/>
      <c r="F61" s="4"/>
      <c r="G61" s="4"/>
      <c r="H61" s="4">
        <f t="shared" si="18"/>
        <v>8</v>
      </c>
    </row>
    <row r="62" ht="14.25" customHeight="1">
      <c r="A62" s="3" t="s">
        <v>69</v>
      </c>
      <c r="B62" s="4"/>
      <c r="C62" s="4">
        <v>1.0</v>
      </c>
      <c r="D62" s="4"/>
      <c r="E62" s="4"/>
      <c r="F62" s="4"/>
      <c r="G62" s="4"/>
      <c r="H62" s="4">
        <f t="shared" si="18"/>
        <v>4</v>
      </c>
    </row>
    <row r="63" ht="14.25" customHeight="1">
      <c r="A63" s="3" t="s">
        <v>70</v>
      </c>
      <c r="B63" s="4"/>
      <c r="C63" s="4"/>
      <c r="D63" s="4">
        <v>1.0</v>
      </c>
      <c r="E63" s="4"/>
      <c r="F63" s="4"/>
      <c r="G63" s="4"/>
      <c r="H63" s="4">
        <f t="shared" si="18"/>
        <v>8</v>
      </c>
    </row>
    <row r="64" ht="14.25" customHeight="1">
      <c r="A64" s="3" t="s">
        <v>71</v>
      </c>
      <c r="B64" s="4"/>
      <c r="C64" s="4"/>
      <c r="D64" s="4"/>
      <c r="E64" s="4">
        <v>1.0</v>
      </c>
      <c r="F64" s="4"/>
      <c r="G64" s="4"/>
      <c r="H64" s="4">
        <f t="shared" si="18"/>
        <v>12</v>
      </c>
    </row>
    <row r="65" ht="14.25" customHeight="1">
      <c r="A65" s="3" t="s">
        <v>72</v>
      </c>
      <c r="B65" s="4"/>
      <c r="C65" s="4">
        <v>1.0</v>
      </c>
      <c r="D65" s="4"/>
      <c r="E65" s="4"/>
      <c r="F65" s="4"/>
      <c r="G65" s="4"/>
      <c r="H65" s="4">
        <f t="shared" si="18"/>
        <v>4</v>
      </c>
    </row>
    <row r="66" ht="14.25" customHeight="1">
      <c r="A66" s="3" t="s">
        <v>73</v>
      </c>
      <c r="B66" s="4"/>
      <c r="C66" s="4"/>
      <c r="D66" s="4">
        <v>1.0</v>
      </c>
      <c r="E66" s="4"/>
      <c r="F66" s="4"/>
      <c r="G66" s="4"/>
      <c r="H66" s="4">
        <f t="shared" si="18"/>
        <v>8</v>
      </c>
    </row>
    <row r="67" ht="14.25" customHeight="1">
      <c r="A67" s="7" t="s">
        <v>21</v>
      </c>
      <c r="B67" s="7">
        <f t="shared" ref="B67:H67" si="19">SUM(B59:B66)</f>
        <v>0</v>
      </c>
      <c r="C67" s="7">
        <f t="shared" si="19"/>
        <v>2</v>
      </c>
      <c r="D67" s="7">
        <f t="shared" si="19"/>
        <v>4</v>
      </c>
      <c r="E67" s="7">
        <f t="shared" si="19"/>
        <v>2</v>
      </c>
      <c r="F67" s="7">
        <f t="shared" si="19"/>
        <v>0</v>
      </c>
      <c r="G67" s="7">
        <f t="shared" si="19"/>
        <v>0</v>
      </c>
      <c r="H67" s="7">
        <f t="shared" si="19"/>
        <v>64</v>
      </c>
      <c r="I67" s="10">
        <f>ROUND(H67/45,0)</f>
        <v>1</v>
      </c>
    </row>
    <row r="68" ht="14.25" customHeight="1">
      <c r="A68" s="15" t="s">
        <v>74</v>
      </c>
      <c r="B68" s="2" t="s">
        <v>3</v>
      </c>
      <c r="C68" s="2" t="s">
        <v>4</v>
      </c>
      <c r="D68" s="2" t="s">
        <v>5</v>
      </c>
      <c r="E68" s="2" t="s">
        <v>6</v>
      </c>
      <c r="F68" s="2" t="s">
        <v>7</v>
      </c>
      <c r="G68" s="2" t="s">
        <v>8</v>
      </c>
      <c r="H68" s="2" t="s">
        <v>9</v>
      </c>
    </row>
    <row r="69" ht="14.25" customHeight="1">
      <c r="A69" s="3" t="s">
        <v>75</v>
      </c>
      <c r="B69" s="4"/>
      <c r="C69" s="4"/>
      <c r="D69" s="4"/>
      <c r="E69" s="4">
        <v>1.0</v>
      </c>
      <c r="F69" s="4"/>
      <c r="G69" s="4"/>
      <c r="H69" s="4">
        <f t="shared" ref="H69:H74" si="20">(B69*$K$3)+(C69*$L$3)+(D69*$M$3)+(E69*$N$3)+(F69*$O$3)+(G69*$P$3)</f>
        <v>12</v>
      </c>
    </row>
    <row r="70" ht="14.25" customHeight="1">
      <c r="A70" s="3" t="s">
        <v>76</v>
      </c>
      <c r="B70" s="4"/>
      <c r="C70" s="4"/>
      <c r="D70" s="4"/>
      <c r="E70" s="4"/>
      <c r="F70" s="4">
        <v>1.0</v>
      </c>
      <c r="G70" s="4"/>
      <c r="H70" s="4">
        <f t="shared" si="20"/>
        <v>16</v>
      </c>
    </row>
    <row r="71" ht="14.25" customHeight="1">
      <c r="A71" s="3" t="s">
        <v>77</v>
      </c>
      <c r="B71" s="4"/>
      <c r="C71" s="4"/>
      <c r="D71" s="4">
        <v>1.0</v>
      </c>
      <c r="E71" s="4"/>
      <c r="F71" s="4"/>
      <c r="G71" s="4"/>
      <c r="H71" s="4">
        <f t="shared" si="20"/>
        <v>8</v>
      </c>
    </row>
    <row r="72" ht="14.25" customHeight="1">
      <c r="A72" s="3" t="s">
        <v>78</v>
      </c>
      <c r="B72" s="4"/>
      <c r="C72" s="4"/>
      <c r="D72" s="4"/>
      <c r="E72" s="4">
        <v>1.0</v>
      </c>
      <c r="F72" s="4"/>
      <c r="G72" s="4"/>
      <c r="H72" s="4">
        <f t="shared" si="20"/>
        <v>12</v>
      </c>
    </row>
    <row r="73" ht="14.25" customHeight="1">
      <c r="A73" s="3" t="s">
        <v>79</v>
      </c>
      <c r="B73" s="4"/>
      <c r="C73" s="4"/>
      <c r="D73" s="4"/>
      <c r="E73" s="4"/>
      <c r="F73" s="4">
        <v>1.0</v>
      </c>
      <c r="G73" s="4"/>
      <c r="H73" s="4">
        <f t="shared" si="20"/>
        <v>16</v>
      </c>
    </row>
    <row r="74" ht="14.25" customHeight="1">
      <c r="A74" s="3" t="s">
        <v>80</v>
      </c>
      <c r="B74" s="4"/>
      <c r="C74" s="4"/>
      <c r="D74" s="4"/>
      <c r="E74" s="4">
        <v>1.0</v>
      </c>
      <c r="F74" s="4"/>
      <c r="G74" s="4"/>
      <c r="H74" s="4">
        <f t="shared" si="20"/>
        <v>12</v>
      </c>
    </row>
    <row r="75" ht="14.25" customHeight="1">
      <c r="A75" s="7" t="s">
        <v>21</v>
      </c>
      <c r="B75" s="7">
        <f t="shared" ref="B75:H75" si="21">SUM(B69:B74)</f>
        <v>0</v>
      </c>
      <c r="C75" s="7">
        <f t="shared" si="21"/>
        <v>0</v>
      </c>
      <c r="D75" s="7">
        <f t="shared" si="21"/>
        <v>1</v>
      </c>
      <c r="E75" s="7">
        <f t="shared" si="21"/>
        <v>3</v>
      </c>
      <c r="F75" s="7">
        <f t="shared" si="21"/>
        <v>2</v>
      </c>
      <c r="G75" s="7">
        <f t="shared" si="21"/>
        <v>0</v>
      </c>
      <c r="H75" s="7">
        <f t="shared" si="21"/>
        <v>76</v>
      </c>
      <c r="I75" s="10">
        <f>ROUND(H75/45,0)</f>
        <v>2</v>
      </c>
    </row>
    <row r="76" ht="14.25" customHeight="1">
      <c r="A76" s="15" t="s">
        <v>81</v>
      </c>
      <c r="B76" s="2" t="s">
        <v>3</v>
      </c>
      <c r="C76" s="2" t="s">
        <v>4</v>
      </c>
      <c r="D76" s="2" t="s">
        <v>5</v>
      </c>
      <c r="E76" s="2" t="s">
        <v>6</v>
      </c>
      <c r="F76" s="2" t="s">
        <v>7</v>
      </c>
      <c r="G76" s="2" t="s">
        <v>8</v>
      </c>
      <c r="H76" s="2" t="s">
        <v>9</v>
      </c>
    </row>
    <row r="77" ht="14.25" customHeight="1">
      <c r="A77" s="3" t="s">
        <v>82</v>
      </c>
      <c r="B77" s="4"/>
      <c r="C77" s="4"/>
      <c r="D77" s="4"/>
      <c r="E77" s="4">
        <v>1.0</v>
      </c>
      <c r="F77" s="4"/>
      <c r="G77" s="4"/>
      <c r="H77" s="4">
        <f t="shared" ref="H77:H82" si="22">(B77*$K$3)+(C77*$L$3)+(D77*$M$3)+(E77*$N$3)+(F77*$O$3)+(G77*$P$3)</f>
        <v>12</v>
      </c>
    </row>
    <row r="78" ht="14.25" customHeight="1">
      <c r="A78" s="3" t="s">
        <v>83</v>
      </c>
      <c r="B78" s="4"/>
      <c r="C78" s="4"/>
      <c r="D78" s="4"/>
      <c r="E78" s="4"/>
      <c r="F78" s="4">
        <v>1.0</v>
      </c>
      <c r="G78" s="4"/>
      <c r="H78" s="4">
        <f t="shared" si="22"/>
        <v>16</v>
      </c>
    </row>
    <row r="79" ht="14.25" customHeight="1">
      <c r="A79" s="3" t="s">
        <v>84</v>
      </c>
      <c r="B79" s="4"/>
      <c r="C79" s="4"/>
      <c r="D79" s="4">
        <v>1.0</v>
      </c>
      <c r="E79" s="4"/>
      <c r="F79" s="4"/>
      <c r="G79" s="4"/>
      <c r="H79" s="4">
        <f t="shared" si="22"/>
        <v>8</v>
      </c>
    </row>
    <row r="80" ht="14.25" customHeight="1">
      <c r="A80" s="3" t="s">
        <v>85</v>
      </c>
      <c r="B80" s="4"/>
      <c r="C80" s="4"/>
      <c r="D80" s="4"/>
      <c r="E80" s="4">
        <v>1.0</v>
      </c>
      <c r="F80" s="4"/>
      <c r="G80" s="4"/>
      <c r="H80" s="4">
        <f t="shared" si="22"/>
        <v>12</v>
      </c>
    </row>
    <row r="81" ht="14.25" customHeight="1">
      <c r="A81" s="3" t="s">
        <v>86</v>
      </c>
      <c r="B81" s="4"/>
      <c r="C81" s="4"/>
      <c r="D81" s="4"/>
      <c r="E81" s="4"/>
      <c r="F81" s="4">
        <v>1.0</v>
      </c>
      <c r="G81" s="4"/>
      <c r="H81" s="4">
        <f t="shared" si="22"/>
        <v>16</v>
      </c>
    </row>
    <row r="82" ht="14.25" customHeight="1">
      <c r="A82" s="3" t="s">
        <v>87</v>
      </c>
      <c r="B82" s="4"/>
      <c r="C82" s="4"/>
      <c r="D82" s="4"/>
      <c r="E82" s="4">
        <v>1.0</v>
      </c>
      <c r="F82" s="4"/>
      <c r="G82" s="4"/>
      <c r="H82" s="4">
        <f t="shared" si="22"/>
        <v>12</v>
      </c>
    </row>
    <row r="83" ht="14.25" customHeight="1">
      <c r="A83" s="7" t="s">
        <v>21</v>
      </c>
      <c r="B83" s="7">
        <f t="shared" ref="B83:H83" si="23">SUM(B77:B82)</f>
        <v>0</v>
      </c>
      <c r="C83" s="7">
        <f t="shared" si="23"/>
        <v>0</v>
      </c>
      <c r="D83" s="7">
        <f t="shared" si="23"/>
        <v>1</v>
      </c>
      <c r="E83" s="7">
        <f t="shared" si="23"/>
        <v>3</v>
      </c>
      <c r="F83" s="7">
        <f t="shared" si="23"/>
        <v>2</v>
      </c>
      <c r="G83" s="7">
        <f t="shared" si="23"/>
        <v>0</v>
      </c>
      <c r="H83" s="7">
        <f t="shared" si="23"/>
        <v>76</v>
      </c>
      <c r="I83" s="10">
        <f>ROUND(H83/45,0)</f>
        <v>2</v>
      </c>
    </row>
    <row r="84" ht="14.25" customHeight="1">
      <c r="A84" s="2" t="s">
        <v>88</v>
      </c>
      <c r="B84" s="2" t="s">
        <v>3</v>
      </c>
      <c r="C84" s="2" t="s">
        <v>4</v>
      </c>
      <c r="D84" s="2" t="s">
        <v>5</v>
      </c>
      <c r="E84" s="2" t="s">
        <v>6</v>
      </c>
      <c r="F84" s="2" t="s">
        <v>7</v>
      </c>
      <c r="G84" s="2" t="s">
        <v>8</v>
      </c>
      <c r="H84" s="2" t="s">
        <v>9</v>
      </c>
    </row>
    <row r="85" ht="14.25" customHeight="1">
      <c r="A85" s="3" t="s">
        <v>89</v>
      </c>
      <c r="B85" s="4"/>
      <c r="C85" s="4"/>
      <c r="D85" s="4"/>
      <c r="E85" s="4"/>
      <c r="F85" s="4">
        <v>1.0</v>
      </c>
      <c r="G85" s="4"/>
      <c r="H85" s="4">
        <f t="shared" ref="H85:H91" si="24">(B85*$K$3)+(C85*$L$3)+(D85*$M$3)+(E85*$N$3)+(F85*$O$3)+(G85*$P$3)</f>
        <v>16</v>
      </c>
    </row>
    <row r="86" ht="14.25" customHeight="1">
      <c r="A86" s="3" t="s">
        <v>90</v>
      </c>
      <c r="B86" s="4"/>
      <c r="C86" s="4"/>
      <c r="D86" s="4">
        <v>1.0</v>
      </c>
      <c r="E86" s="4"/>
      <c r="F86" s="4"/>
      <c r="G86" s="4"/>
      <c r="H86" s="4">
        <f t="shared" si="24"/>
        <v>8</v>
      </c>
    </row>
    <row r="87" ht="14.25" customHeight="1">
      <c r="A87" s="3" t="s">
        <v>91</v>
      </c>
      <c r="B87" s="4"/>
      <c r="C87" s="4"/>
      <c r="D87" s="4"/>
      <c r="E87" s="4">
        <v>1.0</v>
      </c>
      <c r="F87" s="4"/>
      <c r="G87" s="4"/>
      <c r="H87" s="4">
        <f t="shared" si="24"/>
        <v>12</v>
      </c>
    </row>
    <row r="88" ht="14.25" customHeight="1">
      <c r="A88" s="3" t="s">
        <v>92</v>
      </c>
      <c r="B88" s="4"/>
      <c r="C88" s="4"/>
      <c r="D88" s="4"/>
      <c r="E88" s="4">
        <v>1.0</v>
      </c>
      <c r="F88" s="4"/>
      <c r="G88" s="4"/>
      <c r="H88" s="4">
        <f t="shared" si="24"/>
        <v>12</v>
      </c>
    </row>
    <row r="89" ht="14.25" customHeight="1">
      <c r="A89" s="3" t="s">
        <v>93</v>
      </c>
      <c r="B89" s="4"/>
      <c r="C89" s="4"/>
      <c r="D89" s="4"/>
      <c r="E89" s="4">
        <v>1.0</v>
      </c>
      <c r="F89" s="4"/>
      <c r="G89" s="4"/>
      <c r="H89" s="4">
        <f t="shared" si="24"/>
        <v>12</v>
      </c>
    </row>
    <row r="90" ht="14.25" customHeight="1">
      <c r="A90" s="17" t="s">
        <v>94</v>
      </c>
      <c r="B90" s="4"/>
      <c r="C90" s="4"/>
      <c r="D90" s="4">
        <v>1.0</v>
      </c>
      <c r="E90" s="4"/>
      <c r="F90" s="4"/>
      <c r="G90" s="4"/>
      <c r="H90" s="4">
        <f t="shared" si="24"/>
        <v>8</v>
      </c>
    </row>
    <row r="91" ht="14.25" customHeight="1">
      <c r="A91" s="17" t="s">
        <v>95</v>
      </c>
      <c r="B91" s="4"/>
      <c r="C91" s="4"/>
      <c r="D91" s="4"/>
      <c r="E91" s="4"/>
      <c r="F91" s="4">
        <v>1.0</v>
      </c>
      <c r="G91" s="4"/>
      <c r="H91" s="4">
        <f t="shared" si="24"/>
        <v>16</v>
      </c>
    </row>
    <row r="92" ht="14.25" customHeight="1">
      <c r="A92" s="7" t="s">
        <v>21</v>
      </c>
      <c r="B92" s="7">
        <f t="shared" ref="B92:H92" si="25">SUM(B85:B91)</f>
        <v>0</v>
      </c>
      <c r="C92" s="7">
        <f t="shared" si="25"/>
        <v>0</v>
      </c>
      <c r="D92" s="7">
        <f t="shared" si="25"/>
        <v>2</v>
      </c>
      <c r="E92" s="7">
        <f t="shared" si="25"/>
        <v>3</v>
      </c>
      <c r="F92" s="7">
        <f t="shared" si="25"/>
        <v>2</v>
      </c>
      <c r="G92" s="7">
        <f t="shared" si="25"/>
        <v>0</v>
      </c>
      <c r="H92" s="7">
        <f t="shared" si="25"/>
        <v>84</v>
      </c>
      <c r="I92" s="10">
        <f>ROUND(H92/45,0)</f>
        <v>2</v>
      </c>
    </row>
    <row r="93" ht="14.25" customHeight="1">
      <c r="A93" s="2" t="s">
        <v>96</v>
      </c>
      <c r="B93" s="2" t="s">
        <v>3</v>
      </c>
      <c r="C93" s="2" t="s">
        <v>4</v>
      </c>
      <c r="D93" s="2" t="s">
        <v>5</v>
      </c>
      <c r="E93" s="2" t="s">
        <v>6</v>
      </c>
      <c r="F93" s="2" t="s">
        <v>7</v>
      </c>
      <c r="G93" s="2" t="s">
        <v>8</v>
      </c>
      <c r="H93" s="2" t="s">
        <v>9</v>
      </c>
    </row>
    <row r="94" ht="14.25" customHeight="1">
      <c r="A94" s="3" t="s">
        <v>97</v>
      </c>
      <c r="B94" s="4"/>
      <c r="C94" s="4"/>
      <c r="D94" s="4"/>
      <c r="E94" s="4"/>
      <c r="F94" s="18">
        <v>1.0</v>
      </c>
      <c r="G94" s="4"/>
      <c r="H94" s="4">
        <f t="shared" ref="H94:H95" si="26">(B94*$K$3)+(C94*$L$3)+(D94*$M$3)+(E94*$N$3)+(F94*$O$3)+(G94*$P$3)</f>
        <v>16</v>
      </c>
    </row>
    <row r="95" ht="14.25" customHeight="1">
      <c r="A95" s="3" t="s">
        <v>98</v>
      </c>
      <c r="B95" s="4"/>
      <c r="C95" s="4"/>
      <c r="D95" s="4"/>
      <c r="E95" s="4"/>
      <c r="F95" s="18">
        <v>1.0</v>
      </c>
      <c r="G95" s="4"/>
      <c r="H95" s="4">
        <f t="shared" si="26"/>
        <v>16</v>
      </c>
    </row>
    <row r="96" ht="14.25" customHeight="1">
      <c r="A96" s="7" t="s">
        <v>21</v>
      </c>
      <c r="B96" s="7">
        <f t="shared" ref="B96:C96" si="27">SUM(B91:B95)</f>
        <v>0</v>
      </c>
      <c r="C96" s="7">
        <f t="shared" si="27"/>
        <v>0</v>
      </c>
      <c r="D96" s="7">
        <f t="shared" ref="D96:E96" si="28">SUM(D94)</f>
        <v>0</v>
      </c>
      <c r="E96" s="7">
        <f t="shared" si="28"/>
        <v>0</v>
      </c>
      <c r="F96" s="7">
        <f>SUM(F94:F95)</f>
        <v>2</v>
      </c>
      <c r="G96" s="7">
        <f>SUM(G91:G95)</f>
        <v>0</v>
      </c>
      <c r="H96" s="7">
        <f>SUM(H94:H95)</f>
        <v>32</v>
      </c>
      <c r="I96" s="10">
        <f>ROUND(H96/45,0)</f>
        <v>1</v>
      </c>
    </row>
    <row r="97" ht="14.25" customHeight="1">
      <c r="A97" s="19" t="s">
        <v>99</v>
      </c>
      <c r="B97" s="2" t="s">
        <v>3</v>
      </c>
      <c r="C97" s="2" t="s">
        <v>4</v>
      </c>
      <c r="D97" s="2" t="s">
        <v>5</v>
      </c>
      <c r="E97" s="2" t="s">
        <v>6</v>
      </c>
      <c r="F97" s="2" t="s">
        <v>7</v>
      </c>
      <c r="G97" s="2" t="s">
        <v>8</v>
      </c>
      <c r="H97" s="2" t="s">
        <v>9</v>
      </c>
    </row>
    <row r="98" ht="14.25" customHeight="1">
      <c r="A98" s="20" t="s">
        <v>100</v>
      </c>
      <c r="B98" s="4"/>
      <c r="C98" s="4"/>
      <c r="D98" s="4"/>
      <c r="E98" s="18"/>
      <c r="F98" s="18">
        <v>1.0</v>
      </c>
      <c r="G98" s="4"/>
      <c r="H98" s="4">
        <f>(B98*$K$3)+(C98*$L$3)+(D98*$M$3)+(E98*$N$3)+(F98*$O$3)+(G98*$P$3)</f>
        <v>16</v>
      </c>
    </row>
    <row r="99" ht="14.25" customHeight="1">
      <c r="A99" s="7" t="s">
        <v>21</v>
      </c>
      <c r="B99" s="7">
        <f t="shared" ref="B99:E99" si="29">SUM(B94:B98)</f>
        <v>0</v>
      </c>
      <c r="C99" s="7">
        <f t="shared" si="29"/>
        <v>0</v>
      </c>
      <c r="D99" s="7">
        <f t="shared" si="29"/>
        <v>0</v>
      </c>
      <c r="E99" s="7">
        <f t="shared" si="29"/>
        <v>0</v>
      </c>
      <c r="F99" s="7">
        <f>SUM(F98)</f>
        <v>1</v>
      </c>
      <c r="G99" s="7">
        <f>SUM(G94:G98)</f>
        <v>0</v>
      </c>
      <c r="H99" s="7">
        <f>SUM(H98)</f>
        <v>16</v>
      </c>
      <c r="I99" s="10">
        <f>ROUND(H99/45,0)</f>
        <v>0</v>
      </c>
    </row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5.5"/>
    <col customWidth="1" min="3" max="3" width="13.38"/>
    <col customWidth="1" min="4" max="26" width="10.63"/>
  </cols>
  <sheetData>
    <row r="1" ht="14.25" customHeight="1"/>
    <row r="2" ht="14.25" customHeight="1"/>
    <row r="3" ht="14.25" customHeight="1">
      <c r="B3" s="21" t="s">
        <v>18</v>
      </c>
      <c r="C3" s="8">
        <v>1327855.0</v>
      </c>
    </row>
    <row r="4" ht="14.25" customHeight="1">
      <c r="B4" s="7" t="s">
        <v>20</v>
      </c>
      <c r="C4" s="8">
        <f>C3/(45*4.33)</f>
        <v>6814.75494</v>
      </c>
    </row>
    <row r="5" ht="14.25" customHeight="1">
      <c r="B5" s="7" t="s">
        <v>22</v>
      </c>
      <c r="C5" s="12">
        <v>688.0</v>
      </c>
    </row>
    <row r="6" ht="14.25" customHeight="1">
      <c r="C6" s="14">
        <f>C4*C5</f>
        <v>4688551.399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2025-11-09T16:48:36Z</dcterms:created>
  <dc:creator>LUIS</dc:creator>
</cp:coreProperties>
</file>